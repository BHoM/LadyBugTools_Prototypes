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rohappold.sharepoint.com/sites/055843/05_Teams Files/Sustainability and climate/Energy/MasterplanEnergyDemand/tests/"/>
    </mc:Choice>
  </mc:AlternateContent>
  <xr:revisionPtr revIDLastSave="295" documentId="8_{E7215A42-B8C1-4AB0-98CD-EBFBB28DF146}" xr6:coauthVersionLast="47" xr6:coauthVersionMax="47" xr10:uidLastSave="{F966BCE5-A088-4A5D-ABE7-81FB5ACD5B17}"/>
  <bookViews>
    <workbookView xWindow="29100" yWindow="-15870" windowWidth="25440" windowHeight="15540" xr2:uid="{D1C73D5C-5E78-42AF-885D-894EFBDD5217}"/>
  </bookViews>
  <sheets>
    <sheet name="INPUTS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1" l="1"/>
  <c r="D57" i="1"/>
  <c r="D56" i="1"/>
  <c r="D55" i="1"/>
  <c r="D54" i="1"/>
  <c r="C57" i="1"/>
  <c r="C58" i="1"/>
  <c r="C55" i="1"/>
  <c r="C56" i="1"/>
  <c r="C54" i="1"/>
</calcChain>
</file>

<file path=xl/sharedStrings.xml><?xml version="1.0" encoding="utf-8"?>
<sst xmlns="http://schemas.openxmlformats.org/spreadsheetml/2006/main" count="279" uniqueCount="210">
  <si>
    <t>project_identifier</t>
  </si>
  <si>
    <t>identifier</t>
  </si>
  <si>
    <t>Key</t>
  </si>
  <si>
    <t>ExampleProject</t>
  </si>
  <si>
    <t>Office</t>
  </si>
  <si>
    <t>epw_file</t>
  </si>
  <si>
    <t>total_area</t>
  </si>
  <si>
    <t>average_num_floors</t>
  </si>
  <si>
    <t>building_type</t>
  </si>
  <si>
    <t>construction_type</t>
  </si>
  <si>
    <t>vintage</t>
  </si>
  <si>
    <t>terrain</t>
  </si>
  <si>
    <t>glazing_ratio_N</t>
  </si>
  <si>
    <t>glazing_ratio_NE</t>
  </si>
  <si>
    <t>glazing_ratio_E</t>
  </si>
  <si>
    <t>glazing_ratio_SE</t>
  </si>
  <si>
    <t>glazing_ratio_S</t>
  </si>
  <si>
    <t>glazing_ratio_SW</t>
  </si>
  <si>
    <t>glazing_ratio_W</t>
  </si>
  <si>
    <t>glazing_ratio_NW</t>
  </si>
  <si>
    <t>BuildingType</t>
  </si>
  <si>
    <t>ConstructionType</t>
  </si>
  <si>
    <t>Terrain</t>
  </si>
  <si>
    <t>Vintage</t>
  </si>
  <si>
    <t>EconomizerType</t>
  </si>
  <si>
    <t>wall_u_value_N</t>
  </si>
  <si>
    <t>wall_u_value_NE</t>
  </si>
  <si>
    <t>wall_u_value_E</t>
  </si>
  <si>
    <t>wall_u_value_SE</t>
  </si>
  <si>
    <t>wall_u_value_S</t>
  </si>
  <si>
    <t>wall_u_value_SW</t>
  </si>
  <si>
    <t>wall_u_value_W</t>
  </si>
  <si>
    <t>wall_u_value_NW</t>
  </si>
  <si>
    <t>floor_u_value</t>
  </si>
  <si>
    <t>roof_u_value</t>
  </si>
  <si>
    <t>window_u_value_N</t>
  </si>
  <si>
    <t>window_u_value_NE</t>
  </si>
  <si>
    <t>window_u_value_E</t>
  </si>
  <si>
    <t>window_u_value_SE</t>
  </si>
  <si>
    <t>window_u_value_S</t>
  </si>
  <si>
    <t>window_u_value_SW</t>
  </si>
  <si>
    <t>window_u_value_W</t>
  </si>
  <si>
    <t>window_u_value_NW</t>
  </si>
  <si>
    <t>roof_sri</t>
  </si>
  <si>
    <t>window_shgc_N</t>
  </si>
  <si>
    <t>window_shgc_NE</t>
  </si>
  <si>
    <t>window_shgc_E</t>
  </si>
  <si>
    <t>window_shgc_SE</t>
  </si>
  <si>
    <t>window_shgc_S</t>
  </si>
  <si>
    <t>window_shgc_SW</t>
  </si>
  <si>
    <t>window_shgc_W</t>
  </si>
  <si>
    <t>window_shgc_NW</t>
  </si>
  <si>
    <t>occupant_density</t>
  </si>
  <si>
    <t>lighting_power_density</t>
  </si>
  <si>
    <t>equipment_power_density</t>
  </si>
  <si>
    <t>infiltration_rate</t>
  </si>
  <si>
    <t>ventilation_rate</t>
  </si>
  <si>
    <t>heating_setpoint</t>
  </si>
  <si>
    <t>heating_setback</t>
  </si>
  <si>
    <t>cooling_setpoint</t>
  </si>
  <si>
    <t>cooling_setback</t>
  </si>
  <si>
    <t>economizer_type</t>
  </si>
  <si>
    <t>sensible_heat_recovery_effectiveness</t>
  </si>
  <si>
    <t>latent_heat_recovery_effectiveness</t>
  </si>
  <si>
    <t>demand_controlled_ventilation</t>
  </si>
  <si>
    <t>Help</t>
  </si>
  <si>
    <t>Name of the project</t>
  </si>
  <si>
    <t>Name of the building typology</t>
  </si>
  <si>
    <t>The filepath of the EPW to be used</t>
  </si>
  <si>
    <t>The total GFA across the entire masterplan</t>
  </si>
  <si>
    <t>The typical footprint area of one of these buildings</t>
  </si>
  <si>
    <t>The average floor-to-floor height of the building</t>
  </si>
  <si>
    <t>The average number of storeys</t>
  </si>
  <si>
    <t>The type of building. If no exact match exists, then use the most similar</t>
  </si>
  <si>
    <t>The type of material the building structure is made from</t>
  </si>
  <si>
    <t>The standard to which the building is constructed (much of this will be overwritten by custom U-values and SHGC values provided)</t>
  </si>
  <si>
    <t>The terrain type in which the building should be simulated</t>
  </si>
  <si>
    <t>The WWR for any north facades</t>
  </si>
  <si>
    <t>The WWR for any northeast facades</t>
  </si>
  <si>
    <t>The WWR for any east facades</t>
  </si>
  <si>
    <t>The WWR for any southeast facades</t>
  </si>
  <si>
    <t>The WWR for any south facades</t>
  </si>
  <si>
    <t>The WWR for any southwest facades</t>
  </si>
  <si>
    <t>The WWR for any west facades</t>
  </si>
  <si>
    <t>The WWR for any northwest facades</t>
  </si>
  <si>
    <t>The ratio of rooflight-to-roof area</t>
  </si>
  <si>
    <t>The U-value for any north facades</t>
  </si>
  <si>
    <t>The U-value for any northeast facades</t>
  </si>
  <si>
    <t>The U-value for any east facades</t>
  </si>
  <si>
    <t>The U-value for any southeast facades</t>
  </si>
  <si>
    <t>The U-value for any south facades</t>
  </si>
  <si>
    <t>The U-value for any southwest facades</t>
  </si>
  <si>
    <t>The U-value for any west facades</t>
  </si>
  <si>
    <t>The U-value for any northwest facades</t>
  </si>
  <si>
    <t>The U-value for ground-contact floor</t>
  </si>
  <si>
    <t>The U-value for the roof</t>
  </si>
  <si>
    <t>The U-value for any north windows</t>
  </si>
  <si>
    <t>The U-value for any northeast windows</t>
  </si>
  <si>
    <t>The U-value for any east windows</t>
  </si>
  <si>
    <t>The U-value for any southeast windows</t>
  </si>
  <si>
    <t>The U-value for any south windows</t>
  </si>
  <si>
    <t>The U-value for any southwest windows</t>
  </si>
  <si>
    <t>The U-value for any west windows</t>
  </si>
  <si>
    <t>The U-value for any northwest windows</t>
  </si>
  <si>
    <t>The SHGC for any north windows</t>
  </si>
  <si>
    <t>The SHGC for any northeast windows</t>
  </si>
  <si>
    <t>The SHGC for any east windows</t>
  </si>
  <si>
    <t>The SHGC for any southeast windows</t>
  </si>
  <si>
    <t>The SHGC for any south windows</t>
  </si>
  <si>
    <t>The SHGC for any southwest windows</t>
  </si>
  <si>
    <t>The SHGC for any west windows</t>
  </si>
  <si>
    <t>The SHGC for any northwest windows</t>
  </si>
  <si>
    <t>The SRI for the roof</t>
  </si>
  <si>
    <t>Occupant density in m2/person</t>
  </si>
  <si>
    <t>Lighting power density in W/m2</t>
  </si>
  <si>
    <t>Equipment power density in W/m2</t>
  </si>
  <si>
    <t>Infiltration rate in ACH</t>
  </si>
  <si>
    <t>Ventilation rate in l/s/person</t>
  </si>
  <si>
    <t>The cooling setback temperature, which will be targetted outside conditioned hours according to the default building operating hours</t>
  </si>
  <si>
    <t>The cooling setpoint temperature, which will be targetted during conditioned hours according to the default building operating hours</t>
  </si>
  <si>
    <t>The heating setback temperature, which will be targetted outside conditioned hours according to the default building operating hours</t>
  </si>
  <si>
    <t>The heating setpoint temperature, which will be targetted during conditioned hours according to the default building operating hours</t>
  </si>
  <si>
    <t>Text to indicate the type of air-side economizer used on the ideal air system. Economizers will mix in a greater amount of outdoor air to cool the zone (rather than running the cooling system) when the zone needs cooling and the outdoor air is cooler than the zone.</t>
  </si>
  <si>
    <t>A number between 0 and 1 for the effectiveness of sensible heat recovery within the system.</t>
  </si>
  <si>
    <t>A number between 0 and 1 for the effectiveness of latent heat recovery within the system.</t>
  </si>
  <si>
    <t>Boolean to note whether demand controlled ventilation should be used on the system, which will vary the amount of ventilation air according to the occupancy schedule of the Room.</t>
  </si>
  <si>
    <t>daylight_dimming</t>
  </si>
  <si>
    <t>Boolean to note whether spaces should be daylight dimmed</t>
  </si>
  <si>
    <t>skylight_ratio</t>
  </si>
  <si>
    <t>skylight_shgc</t>
  </si>
  <si>
    <t>skylight_u_value</t>
  </si>
  <si>
    <t>C:\Users\tgerrish\Buro Happold\P055843 P-Dubai Expo City Masterplan - UNS - Sustainability and climate\Microclimate\data\ARE_DU_Dubai.World.Central.Intl.AP-Maktoum.Intl.AP.411945_TMYx_FIXED.epw</t>
  </si>
  <si>
    <t>average_footprint_area</t>
  </si>
  <si>
    <t>average_floor_height</t>
  </si>
  <si>
    <t>APARTMENT_HIGHRISE</t>
  </si>
  <si>
    <t>APARTMENT_MIDRISE</t>
  </si>
  <si>
    <t>COLLEGE</t>
  </si>
  <si>
    <t>COURTHOUSE</t>
  </si>
  <si>
    <t>DATACENTER_LARGE_HIGH_ITE</t>
  </si>
  <si>
    <t>DATACENTER_LARGE_LOW_ITE</t>
  </si>
  <si>
    <t>DATACENTER_SMALL_HIGH_ITE</t>
  </si>
  <si>
    <t>DATACENTER_SMALL_LOW_ITE</t>
  </si>
  <si>
    <t>HOSPITAL</t>
  </si>
  <si>
    <t>HOTEL_LARGE</t>
  </si>
  <si>
    <t>HOTEL_SMALL</t>
  </si>
  <si>
    <t>LABORATORY</t>
  </si>
  <si>
    <t>OFFICE_LARGE</t>
  </si>
  <si>
    <t>OFFICE_MEDIUM</t>
  </si>
  <si>
    <t>OFFICE_SMALL</t>
  </si>
  <si>
    <t>OUTPATIENT</t>
  </si>
  <si>
    <t>RESTAURANT_FULL_SERVICE</t>
  </si>
  <si>
    <t>RESTAURANT_QUICK_SERVICE</t>
  </si>
  <si>
    <t>RETAIL</t>
  </si>
  <si>
    <t>SCHOOL_PRIMARY</t>
  </si>
  <si>
    <t>SCHOOL_SECONDARY</t>
  </si>
  <si>
    <t>STRIP_MALL</t>
  </si>
  <si>
    <t>SUPER_MARKET</t>
  </si>
  <si>
    <t>WAREHOUSE</t>
  </si>
  <si>
    <t>STEEL_FRAMED</t>
  </si>
  <si>
    <t>WOOD_FRAMED</t>
  </si>
  <si>
    <t>MASS</t>
  </si>
  <si>
    <t>METAL_BUILDING</t>
  </si>
  <si>
    <t>ASHRAE_901_2004</t>
  </si>
  <si>
    <t>ASHRAE_901_2007</t>
  </si>
  <si>
    <t>ASHRAE_901_2010</t>
  </si>
  <si>
    <t>ASHRAE_901_2013</t>
  </si>
  <si>
    <t>ASHRAE_901_2016</t>
  </si>
  <si>
    <t>ASHRAE_901_2019</t>
  </si>
  <si>
    <t>CBECS_1980_2004</t>
  </si>
  <si>
    <t>CBECS_PRE_1980</t>
  </si>
  <si>
    <t>NO_ECONOMIZER</t>
  </si>
  <si>
    <t>DIFFERENTIAL_DRY_BULB</t>
  </si>
  <si>
    <t>DIFFERENTIAL_ENTHALPY</t>
  </si>
  <si>
    <t>OCEAN</t>
  </si>
  <si>
    <t>COUNTRY</t>
  </si>
  <si>
    <t>SUBURBS</t>
  </si>
  <si>
    <t>URBAN</t>
  </si>
  <si>
    <t>CITY</t>
  </si>
  <si>
    <t>The U-value for any skylights</t>
  </si>
  <si>
    <t>The SHGC for any skylights</t>
  </si>
  <si>
    <t>Column1</t>
  </si>
  <si>
    <t>Unit</t>
  </si>
  <si>
    <t>str</t>
  </si>
  <si>
    <t>m2</t>
  </si>
  <si>
    <t>m</t>
  </si>
  <si>
    <t>int</t>
  </si>
  <si>
    <t>enum</t>
  </si>
  <si>
    <t>W/m2K</t>
  </si>
  <si>
    <t>unitless</t>
  </si>
  <si>
    <t>person/m2</t>
  </si>
  <si>
    <t>W/m2</t>
  </si>
  <si>
    <t>m3/s/m2</t>
  </si>
  <si>
    <t>m3/person</t>
  </si>
  <si>
    <t>C</t>
  </si>
  <si>
    <t>bool</t>
  </si>
  <si>
    <t>BuildingForm</t>
  </si>
  <si>
    <t>CUBOID</t>
  </si>
  <si>
    <t>L_SHAPED</t>
  </si>
  <si>
    <t>U_SHAPED</t>
  </si>
  <si>
    <t>form_factor</t>
  </si>
  <si>
    <t>aspect_ratio</t>
  </si>
  <si>
    <t>rotation</t>
  </si>
  <si>
    <t>degrees</t>
  </si>
  <si>
    <t>Column12</t>
  </si>
  <si>
    <t>Resi</t>
  </si>
  <si>
    <t>heating_cop</t>
  </si>
  <si>
    <t>cooling_cop</t>
  </si>
  <si>
    <t>fan_power</t>
  </si>
  <si>
    <t>pump_power</t>
  </si>
  <si>
    <t>W/l/s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</si>
</sst>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Segoe UI"/>
      <family val="2"/>
    </font>
    <font>
      <b/>
      <sz val="10"/>
      <color theme="0"/>
      <name val="Segoe UI"/>
      <family val="2"/>
    </font>
    <font>
      <sz val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1" fillId="2" borderId="2" xfId="0" applyFont="1" applyFill="1" applyBorder="1"/>
    <xf numFmtId="0" fontId="0" fillId="3" borderId="3" xfId="0" applyFont="1" applyFill="1" applyBorder="1"/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Alignment="1">
      <alignment horizontal="right" wrapText="1"/>
    </xf>
    <xf numFmtId="0" fontId="1" fillId="2" borderId="4" xfId="0" applyFont="1" applyFill="1" applyBorder="1" applyAlignment="1"/>
    <xf numFmtId="0" fontId="0" fillId="3" borderId="4" xfId="0" applyFont="1" applyFill="1" applyBorder="1" applyAlignment="1"/>
    <xf numFmtId="0" fontId="0" fillId="0" borderId="4" xfId="0" applyFont="1" applyBorder="1" applyAlignment="1"/>
  </cellXfs>
  <cellStyles count="1">
    <cellStyle name="Normal" xfId="0" builtinId="0"/>
  </cellStyles>
  <dxfs count="6"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196F8-7FC7-45FE-8E05-4F8E3C9BFBB0}" name="INPUTS" displayName="INPUTS" ref="A1:D71" totalsRowShown="0">
  <autoFilter ref="A1:D71" xr:uid="{36C196F8-7FC7-45FE-8E05-4F8E3C9BFBB0}"/>
  <tableColumns count="4">
    <tableColumn id="1" xr3:uid="{7E8E944F-9148-4A24-B9D4-8893D34B64DE}" name="Key"/>
    <tableColumn id="3" xr3:uid="{6A448E14-DA92-4923-BAD7-6CB399744A80}" name="Unit"/>
    <tableColumn id="2" xr3:uid="{4B9B91ED-FAE1-42CE-AE55-9C90B0D6E0A7}" name="Column1" dataDxfId="5"/>
    <tableColumn id="4" xr3:uid="{5C38E1D8-D014-49FA-A13B-5FD515A129F4}" name="Column12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08E41A-7EB3-4DCD-BCBC-4ECD4FDBE8B9}" name="BuildingType" displayName="BuildingType" ref="B2:B26" totalsRowShown="0" headerRowDxfId="3" headerRowBorderDxfId="2" tableBorderDxfId="1" totalsRowBorderDxfId="0">
  <autoFilter ref="B2:B26" xr:uid="{C208E41A-7EB3-4DCD-BCBC-4ECD4FDBE8B9}"/>
  <tableColumns count="1">
    <tableColumn id="1" xr3:uid="{F6564A26-93EC-446C-B4D0-6970D3CC4B2E}" name="Building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4C2498-BA77-45E1-AB72-079182C7C702}" name="ConstructionType" displayName="ConstructionType" ref="D2:D6" totalsRowShown="0">
  <autoFilter ref="D2:D6" xr:uid="{EB4C2498-BA77-45E1-AB72-079182C7C702}"/>
  <tableColumns count="1">
    <tableColumn id="1" xr3:uid="{F46E8CCB-D7FA-4F59-A087-5B315C12C613}" name="Construction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0600A8-8E49-4265-8BEF-35A325BAC10F}" name="Terrain" displayName="Terrain" ref="F2:F7" totalsRowShown="0">
  <autoFilter ref="F2:F7" xr:uid="{7E0600A8-8E49-4265-8BEF-35A325BAC10F}"/>
  <tableColumns count="1">
    <tableColumn id="1" xr3:uid="{C0CA327C-8F8E-4A1C-BB74-CD5D9B347D5D}" name="Terra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F51B68-18FB-4059-830D-C28133DAAB15}" name="Vintage" displayName="Vintage" ref="H2:H10" totalsRowShown="0">
  <autoFilter ref="H2:H10" xr:uid="{FAF51B68-18FB-4059-830D-C28133DAAB15}"/>
  <tableColumns count="1">
    <tableColumn id="1" xr3:uid="{358C96DE-3E76-4675-98C4-E3B5FEDE4504}" name="Vint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7C9DB4-6021-45F4-AC6E-4D4C15656FDF}" name="EconomizerType" displayName="EconomizerType" ref="J2:J5" totalsRowShown="0">
  <autoFilter ref="J2:J5" xr:uid="{8D7C9DB4-6021-45F4-AC6E-4D4C15656FDF}"/>
  <tableColumns count="1">
    <tableColumn id="1" xr3:uid="{D2C6055C-E6C8-4D2D-8580-34111E97B972}" name="Economizer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B5ABF4-AEF0-4B43-9655-394E3D29FEA5}" name="BuildingForm" displayName="BuildingForm" ref="L2:L5" totalsRowShown="0">
  <autoFilter ref="L2:L5" xr:uid="{21B5ABF4-AEF0-4B43-9655-394E3D29FEA5}"/>
  <tableColumns count="1">
    <tableColumn id="1" xr3:uid="{CF16C2C2-6C41-4D13-8C3C-4FED3C199CEF}" name="Building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9D53-E647-4CD9-8188-47449E8F3942}">
  <dimension ref="A1:D7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4" sqref="C4"/>
    </sheetView>
  </sheetViews>
  <sheetFormatPr defaultRowHeight="15.4" x14ac:dyDescent="0.55000000000000004"/>
  <cols>
    <col min="1" max="2" width="30" customWidth="1"/>
    <col min="3" max="4" width="50.59765625" bestFit="1" customWidth="1"/>
  </cols>
  <sheetData>
    <row r="1" spans="1:4" x14ac:dyDescent="0.55000000000000004">
      <c r="A1" t="s">
        <v>2</v>
      </c>
      <c r="B1" t="s">
        <v>181</v>
      </c>
      <c r="C1" t="s">
        <v>180</v>
      </c>
      <c r="D1" t="s">
        <v>203</v>
      </c>
    </row>
    <row r="2" spans="1:4" x14ac:dyDescent="0.55000000000000004">
      <c r="A2" t="s">
        <v>0</v>
      </c>
      <c r="B2" t="s">
        <v>182</v>
      </c>
      <c r="C2" s="5" t="s">
        <v>3</v>
      </c>
      <c r="D2" s="5" t="s">
        <v>3</v>
      </c>
    </row>
    <row r="3" spans="1:4" x14ac:dyDescent="0.55000000000000004">
      <c r="A3" t="s">
        <v>1</v>
      </c>
      <c r="B3" t="s">
        <v>182</v>
      </c>
      <c r="C3" s="5" t="s">
        <v>4</v>
      </c>
      <c r="D3" s="5" t="s">
        <v>204</v>
      </c>
    </row>
    <row r="4" spans="1:4" ht="61.5" x14ac:dyDescent="0.55000000000000004">
      <c r="A4" t="s">
        <v>5</v>
      </c>
      <c r="B4" t="s">
        <v>182</v>
      </c>
      <c r="C4" s="7" t="s">
        <v>131</v>
      </c>
      <c r="D4" s="7" t="s">
        <v>131</v>
      </c>
    </row>
    <row r="5" spans="1:4" x14ac:dyDescent="0.55000000000000004">
      <c r="A5" t="s">
        <v>6</v>
      </c>
      <c r="B5" t="s">
        <v>183</v>
      </c>
      <c r="C5" s="5">
        <v>9000</v>
      </c>
      <c r="D5" s="5">
        <v>25000</v>
      </c>
    </row>
    <row r="6" spans="1:4" x14ac:dyDescent="0.55000000000000004">
      <c r="A6" t="s">
        <v>132</v>
      </c>
      <c r="B6" t="s">
        <v>183</v>
      </c>
      <c r="C6" s="5">
        <v>100</v>
      </c>
      <c r="D6" s="5">
        <v>250</v>
      </c>
    </row>
    <row r="7" spans="1:4" x14ac:dyDescent="0.55000000000000004">
      <c r="A7" t="s">
        <v>133</v>
      </c>
      <c r="B7" t="s">
        <v>184</v>
      </c>
      <c r="C7" s="5">
        <v>3.5</v>
      </c>
      <c r="D7" s="5">
        <v>3.5</v>
      </c>
    </row>
    <row r="8" spans="1:4" x14ac:dyDescent="0.55000000000000004">
      <c r="A8" t="s">
        <v>7</v>
      </c>
      <c r="B8" t="s">
        <v>185</v>
      </c>
      <c r="C8" s="5">
        <v>3</v>
      </c>
      <c r="D8" s="5">
        <v>5</v>
      </c>
    </row>
    <row r="9" spans="1:4" x14ac:dyDescent="0.55000000000000004">
      <c r="A9" t="s">
        <v>199</v>
      </c>
      <c r="B9" t="s">
        <v>186</v>
      </c>
      <c r="C9" s="5" t="s">
        <v>197</v>
      </c>
      <c r="D9" s="5" t="s">
        <v>198</v>
      </c>
    </row>
    <row r="10" spans="1:4" x14ac:dyDescent="0.55000000000000004">
      <c r="A10" t="s">
        <v>200</v>
      </c>
      <c r="B10" t="s">
        <v>188</v>
      </c>
      <c r="C10">
        <v>1.5</v>
      </c>
      <c r="D10">
        <v>1</v>
      </c>
    </row>
    <row r="11" spans="1:4" x14ac:dyDescent="0.55000000000000004">
      <c r="A11" t="s">
        <v>201</v>
      </c>
      <c r="B11" t="s">
        <v>202</v>
      </c>
      <c r="C11">
        <v>25</v>
      </c>
      <c r="D11">
        <v>180</v>
      </c>
    </row>
    <row r="12" spans="1:4" x14ac:dyDescent="0.55000000000000004">
      <c r="A12" t="s">
        <v>8</v>
      </c>
      <c r="B12" t="s">
        <v>186</v>
      </c>
      <c r="C12" s="5" t="s">
        <v>147</v>
      </c>
      <c r="D12" s="5" t="s">
        <v>135</v>
      </c>
    </row>
    <row r="13" spans="1:4" x14ac:dyDescent="0.55000000000000004">
      <c r="A13" t="s">
        <v>9</v>
      </c>
      <c r="B13" t="s">
        <v>186</v>
      </c>
      <c r="C13" s="5" t="s">
        <v>160</v>
      </c>
      <c r="D13" s="5" t="s">
        <v>160</v>
      </c>
    </row>
    <row r="14" spans="1:4" x14ac:dyDescent="0.55000000000000004">
      <c r="A14" t="s">
        <v>10</v>
      </c>
      <c r="B14" t="s">
        <v>186</v>
      </c>
      <c r="C14" s="5" t="s">
        <v>167</v>
      </c>
      <c r="D14" s="5" t="s">
        <v>167</v>
      </c>
    </row>
    <row r="15" spans="1:4" x14ac:dyDescent="0.55000000000000004">
      <c r="A15" t="s">
        <v>11</v>
      </c>
      <c r="B15" t="s">
        <v>186</v>
      </c>
      <c r="C15" s="5" t="s">
        <v>177</v>
      </c>
      <c r="D15" s="5" t="s">
        <v>176</v>
      </c>
    </row>
    <row r="16" spans="1:4" x14ac:dyDescent="0.55000000000000004">
      <c r="A16" t="s">
        <v>12</v>
      </c>
      <c r="B16" t="s">
        <v>188</v>
      </c>
      <c r="C16" s="5">
        <v>0.25</v>
      </c>
      <c r="D16" s="5">
        <v>0.25</v>
      </c>
    </row>
    <row r="17" spans="1:4" x14ac:dyDescent="0.55000000000000004">
      <c r="A17" t="s">
        <v>13</v>
      </c>
      <c r="B17" t="s">
        <v>188</v>
      </c>
      <c r="C17" s="5">
        <v>0.25</v>
      </c>
      <c r="D17" s="5">
        <v>0.25</v>
      </c>
    </row>
    <row r="18" spans="1:4" x14ac:dyDescent="0.55000000000000004">
      <c r="A18" t="s">
        <v>14</v>
      </c>
      <c r="B18" t="s">
        <v>188</v>
      </c>
      <c r="C18" s="5">
        <v>0.25</v>
      </c>
      <c r="D18" s="5">
        <v>0.25</v>
      </c>
    </row>
    <row r="19" spans="1:4" x14ac:dyDescent="0.55000000000000004">
      <c r="A19" t="s">
        <v>15</v>
      </c>
      <c r="B19" t="s">
        <v>188</v>
      </c>
      <c r="C19" s="5">
        <v>0.25</v>
      </c>
      <c r="D19" s="5">
        <v>0.25</v>
      </c>
    </row>
    <row r="20" spans="1:4" x14ac:dyDescent="0.55000000000000004">
      <c r="A20" t="s">
        <v>16</v>
      </c>
      <c r="B20" t="s">
        <v>188</v>
      </c>
      <c r="C20" s="5">
        <v>0.25</v>
      </c>
      <c r="D20" s="5">
        <v>0.25</v>
      </c>
    </row>
    <row r="21" spans="1:4" x14ac:dyDescent="0.55000000000000004">
      <c r="A21" t="s">
        <v>17</v>
      </c>
      <c r="B21" t="s">
        <v>188</v>
      </c>
      <c r="C21" s="5">
        <v>0.25</v>
      </c>
      <c r="D21" s="5">
        <v>0.25</v>
      </c>
    </row>
    <row r="22" spans="1:4" x14ac:dyDescent="0.55000000000000004">
      <c r="A22" t="s">
        <v>18</v>
      </c>
      <c r="B22" t="s">
        <v>188</v>
      </c>
      <c r="C22" s="5">
        <v>0.25</v>
      </c>
      <c r="D22" s="5">
        <v>0.25</v>
      </c>
    </row>
    <row r="23" spans="1:4" x14ac:dyDescent="0.55000000000000004">
      <c r="A23" t="s">
        <v>19</v>
      </c>
      <c r="B23" t="s">
        <v>188</v>
      </c>
      <c r="C23" s="5">
        <v>0.25</v>
      </c>
      <c r="D23" s="5">
        <v>0.25</v>
      </c>
    </row>
    <row r="24" spans="1:4" x14ac:dyDescent="0.55000000000000004">
      <c r="A24" t="s">
        <v>128</v>
      </c>
      <c r="B24" t="s">
        <v>188</v>
      </c>
      <c r="C24" s="5">
        <v>0</v>
      </c>
      <c r="D24" s="5">
        <v>0</v>
      </c>
    </row>
    <row r="25" spans="1:4" x14ac:dyDescent="0.55000000000000004">
      <c r="A25" t="s">
        <v>25</v>
      </c>
      <c r="B25" t="s">
        <v>187</v>
      </c>
      <c r="C25" s="5">
        <v>0.4</v>
      </c>
      <c r="D25" s="5">
        <v>0.4</v>
      </c>
    </row>
    <row r="26" spans="1:4" x14ac:dyDescent="0.55000000000000004">
      <c r="A26" t="s">
        <v>26</v>
      </c>
      <c r="B26" t="s">
        <v>187</v>
      </c>
      <c r="C26" s="5">
        <v>0.4</v>
      </c>
      <c r="D26" s="5">
        <v>0.4</v>
      </c>
    </row>
    <row r="27" spans="1:4" x14ac:dyDescent="0.55000000000000004">
      <c r="A27" t="s">
        <v>27</v>
      </c>
      <c r="B27" t="s">
        <v>187</v>
      </c>
      <c r="C27" s="5">
        <v>0.4</v>
      </c>
      <c r="D27" s="5">
        <v>0.4</v>
      </c>
    </row>
    <row r="28" spans="1:4" x14ac:dyDescent="0.55000000000000004">
      <c r="A28" t="s">
        <v>28</v>
      </c>
      <c r="B28" t="s">
        <v>187</v>
      </c>
      <c r="C28" s="5">
        <v>0.4</v>
      </c>
      <c r="D28" s="5">
        <v>0.4</v>
      </c>
    </row>
    <row r="29" spans="1:4" x14ac:dyDescent="0.55000000000000004">
      <c r="A29" t="s">
        <v>29</v>
      </c>
      <c r="B29" t="s">
        <v>187</v>
      </c>
      <c r="C29" s="5">
        <v>0.4</v>
      </c>
      <c r="D29" s="5">
        <v>0.4</v>
      </c>
    </row>
    <row r="30" spans="1:4" x14ac:dyDescent="0.55000000000000004">
      <c r="A30" t="s">
        <v>30</v>
      </c>
      <c r="B30" t="s">
        <v>187</v>
      </c>
      <c r="C30" s="5">
        <v>0.4</v>
      </c>
      <c r="D30" s="5">
        <v>0.4</v>
      </c>
    </row>
    <row r="31" spans="1:4" x14ac:dyDescent="0.55000000000000004">
      <c r="A31" t="s">
        <v>31</v>
      </c>
      <c r="B31" t="s">
        <v>187</v>
      </c>
      <c r="C31" s="5">
        <v>0.4</v>
      </c>
      <c r="D31" s="5">
        <v>0.4</v>
      </c>
    </row>
    <row r="32" spans="1:4" x14ac:dyDescent="0.55000000000000004">
      <c r="A32" t="s">
        <v>32</v>
      </c>
      <c r="B32" t="s">
        <v>187</v>
      </c>
      <c r="C32" s="5">
        <v>0.4</v>
      </c>
      <c r="D32" s="5">
        <v>0.4</v>
      </c>
    </row>
    <row r="33" spans="1:4" x14ac:dyDescent="0.55000000000000004">
      <c r="A33" t="s">
        <v>33</v>
      </c>
      <c r="B33" t="s">
        <v>187</v>
      </c>
      <c r="C33" s="5">
        <v>0.4</v>
      </c>
      <c r="D33" s="5">
        <v>0.4</v>
      </c>
    </row>
    <row r="34" spans="1:4" x14ac:dyDescent="0.55000000000000004">
      <c r="A34" t="s">
        <v>34</v>
      </c>
      <c r="B34" t="s">
        <v>187</v>
      </c>
      <c r="C34" s="5">
        <v>0.5</v>
      </c>
      <c r="D34" s="5">
        <v>0.5</v>
      </c>
    </row>
    <row r="35" spans="1:4" x14ac:dyDescent="0.55000000000000004">
      <c r="A35" t="s">
        <v>35</v>
      </c>
      <c r="B35" t="s">
        <v>187</v>
      </c>
      <c r="C35" s="5">
        <v>1.6</v>
      </c>
      <c r="D35" s="5">
        <v>1.6</v>
      </c>
    </row>
    <row r="36" spans="1:4" x14ac:dyDescent="0.55000000000000004">
      <c r="A36" t="s">
        <v>36</v>
      </c>
      <c r="B36" t="s">
        <v>187</v>
      </c>
      <c r="C36" s="5">
        <v>1.6</v>
      </c>
      <c r="D36" s="5">
        <v>1.6</v>
      </c>
    </row>
    <row r="37" spans="1:4" x14ac:dyDescent="0.55000000000000004">
      <c r="A37" t="s">
        <v>37</v>
      </c>
      <c r="B37" t="s">
        <v>187</v>
      </c>
      <c r="C37" s="5">
        <v>1.6</v>
      </c>
      <c r="D37" s="5">
        <v>1.6</v>
      </c>
    </row>
    <row r="38" spans="1:4" x14ac:dyDescent="0.55000000000000004">
      <c r="A38" t="s">
        <v>38</v>
      </c>
      <c r="B38" t="s">
        <v>187</v>
      </c>
      <c r="C38" s="5">
        <v>1.6</v>
      </c>
      <c r="D38" s="5">
        <v>1.6</v>
      </c>
    </row>
    <row r="39" spans="1:4" x14ac:dyDescent="0.55000000000000004">
      <c r="A39" t="s">
        <v>39</v>
      </c>
      <c r="B39" t="s">
        <v>187</v>
      </c>
      <c r="C39" s="5">
        <v>1.6</v>
      </c>
      <c r="D39" s="5">
        <v>1.6</v>
      </c>
    </row>
    <row r="40" spans="1:4" x14ac:dyDescent="0.55000000000000004">
      <c r="A40" t="s">
        <v>40</v>
      </c>
      <c r="B40" t="s">
        <v>187</v>
      </c>
      <c r="C40" s="5">
        <v>1.6</v>
      </c>
      <c r="D40" s="5">
        <v>1.6</v>
      </c>
    </row>
    <row r="41" spans="1:4" x14ac:dyDescent="0.55000000000000004">
      <c r="A41" t="s">
        <v>41</v>
      </c>
      <c r="B41" t="s">
        <v>187</v>
      </c>
      <c r="C41" s="5">
        <v>1.6</v>
      </c>
      <c r="D41" s="5">
        <v>1.6</v>
      </c>
    </row>
    <row r="42" spans="1:4" x14ac:dyDescent="0.55000000000000004">
      <c r="A42" t="s">
        <v>42</v>
      </c>
      <c r="B42" t="s">
        <v>187</v>
      </c>
      <c r="C42" s="5">
        <v>1.6</v>
      </c>
      <c r="D42" s="5">
        <v>1.6</v>
      </c>
    </row>
    <row r="43" spans="1:4" x14ac:dyDescent="0.55000000000000004">
      <c r="A43" t="s">
        <v>44</v>
      </c>
      <c r="B43" t="s">
        <v>188</v>
      </c>
      <c r="C43" s="5">
        <v>0.3</v>
      </c>
      <c r="D43" s="5">
        <v>0.3</v>
      </c>
    </row>
    <row r="44" spans="1:4" x14ac:dyDescent="0.55000000000000004">
      <c r="A44" t="s">
        <v>45</v>
      </c>
      <c r="B44" t="s">
        <v>188</v>
      </c>
      <c r="C44" s="5">
        <v>0.3</v>
      </c>
      <c r="D44" s="5">
        <v>0.3</v>
      </c>
    </row>
    <row r="45" spans="1:4" x14ac:dyDescent="0.55000000000000004">
      <c r="A45" t="s">
        <v>46</v>
      </c>
      <c r="B45" t="s">
        <v>188</v>
      </c>
      <c r="C45" s="5">
        <v>0.3</v>
      </c>
      <c r="D45" s="5">
        <v>0.3</v>
      </c>
    </row>
    <row r="46" spans="1:4" x14ac:dyDescent="0.55000000000000004">
      <c r="A46" t="s">
        <v>47</v>
      </c>
      <c r="B46" t="s">
        <v>188</v>
      </c>
      <c r="C46" s="5">
        <v>0.3</v>
      </c>
      <c r="D46" s="5">
        <v>0.3</v>
      </c>
    </row>
    <row r="47" spans="1:4" x14ac:dyDescent="0.55000000000000004">
      <c r="A47" t="s">
        <v>48</v>
      </c>
      <c r="B47" t="s">
        <v>188</v>
      </c>
      <c r="C47" s="5">
        <v>0.3</v>
      </c>
      <c r="D47" s="5">
        <v>0.3</v>
      </c>
    </row>
    <row r="48" spans="1:4" x14ac:dyDescent="0.55000000000000004">
      <c r="A48" t="s">
        <v>49</v>
      </c>
      <c r="B48" t="s">
        <v>188</v>
      </c>
      <c r="C48" s="5">
        <v>0.3</v>
      </c>
      <c r="D48" s="5">
        <v>0.3</v>
      </c>
    </row>
    <row r="49" spans="1:4" x14ac:dyDescent="0.55000000000000004">
      <c r="A49" t="s">
        <v>50</v>
      </c>
      <c r="B49" t="s">
        <v>188</v>
      </c>
      <c r="C49" s="5">
        <v>0.3</v>
      </c>
      <c r="D49" s="5">
        <v>0.3</v>
      </c>
    </row>
    <row r="50" spans="1:4" x14ac:dyDescent="0.55000000000000004">
      <c r="A50" t="s">
        <v>51</v>
      </c>
      <c r="B50" t="s">
        <v>188</v>
      </c>
      <c r="C50" s="5">
        <v>0.3</v>
      </c>
      <c r="D50" s="5">
        <v>0.3</v>
      </c>
    </row>
    <row r="51" spans="1:4" x14ac:dyDescent="0.55000000000000004">
      <c r="A51" s="1" t="s">
        <v>130</v>
      </c>
      <c r="B51" t="s">
        <v>187</v>
      </c>
      <c r="C51" s="5">
        <v>1.6</v>
      </c>
      <c r="D51" s="5">
        <v>1.6</v>
      </c>
    </row>
    <row r="52" spans="1:4" x14ac:dyDescent="0.55000000000000004">
      <c r="A52" s="2" t="s">
        <v>129</v>
      </c>
      <c r="B52" t="s">
        <v>188</v>
      </c>
      <c r="C52" s="5">
        <v>0.3</v>
      </c>
      <c r="D52" s="5">
        <v>0.3</v>
      </c>
    </row>
    <row r="53" spans="1:4" x14ac:dyDescent="0.55000000000000004">
      <c r="A53" s="4" t="s">
        <v>43</v>
      </c>
      <c r="B53" t="s">
        <v>188</v>
      </c>
      <c r="C53" s="6">
        <v>25</v>
      </c>
      <c r="D53" s="6">
        <v>25</v>
      </c>
    </row>
    <row r="54" spans="1:4" x14ac:dyDescent="0.55000000000000004">
      <c r="A54" t="s">
        <v>52</v>
      </c>
      <c r="B54" t="s">
        <v>189</v>
      </c>
      <c r="C54" s="5" t="e">
        <f>NA()</f>
        <v>#N/A</v>
      </c>
      <c r="D54" s="5" t="e">
        <f>NA()</f>
        <v>#N/A</v>
      </c>
    </row>
    <row r="55" spans="1:4" x14ac:dyDescent="0.55000000000000004">
      <c r="A55" t="s">
        <v>53</v>
      </c>
      <c r="B55" t="s">
        <v>190</v>
      </c>
      <c r="C55" s="5" t="e">
        <f>NA()</f>
        <v>#N/A</v>
      </c>
      <c r="D55" s="5" t="e">
        <f>NA()</f>
        <v>#N/A</v>
      </c>
    </row>
    <row r="56" spans="1:4" x14ac:dyDescent="0.55000000000000004">
      <c r="A56" t="s">
        <v>54</v>
      </c>
      <c r="B56" t="s">
        <v>190</v>
      </c>
      <c r="C56" s="5" t="e">
        <f>NA()</f>
        <v>#N/A</v>
      </c>
      <c r="D56" s="5" t="e">
        <f>NA()</f>
        <v>#N/A</v>
      </c>
    </row>
    <row r="57" spans="1:4" x14ac:dyDescent="0.55000000000000004">
      <c r="A57" t="s">
        <v>55</v>
      </c>
      <c r="B57" t="s">
        <v>191</v>
      </c>
      <c r="C57" s="5" t="e">
        <f>NA()</f>
        <v>#N/A</v>
      </c>
      <c r="D57" s="5" t="e">
        <f>NA()</f>
        <v>#N/A</v>
      </c>
    </row>
    <row r="58" spans="1:4" x14ac:dyDescent="0.55000000000000004">
      <c r="A58" t="s">
        <v>56</v>
      </c>
      <c r="B58" t="s">
        <v>192</v>
      </c>
      <c r="C58" s="5" t="e">
        <f>NA()</f>
        <v>#N/A</v>
      </c>
      <c r="D58" s="5" t="e">
        <f>NA()</f>
        <v>#N/A</v>
      </c>
    </row>
    <row r="59" spans="1:4" x14ac:dyDescent="0.55000000000000004">
      <c r="A59" t="s">
        <v>57</v>
      </c>
      <c r="B59" t="s">
        <v>193</v>
      </c>
      <c r="C59" s="5">
        <v>21</v>
      </c>
      <c r="D59" s="5">
        <v>21</v>
      </c>
    </row>
    <row r="60" spans="1:4" x14ac:dyDescent="0.55000000000000004">
      <c r="A60" t="s">
        <v>58</v>
      </c>
      <c r="B60" t="s">
        <v>193</v>
      </c>
      <c r="C60" s="5">
        <v>16</v>
      </c>
      <c r="D60" s="5">
        <v>16</v>
      </c>
    </row>
    <row r="61" spans="1:4" x14ac:dyDescent="0.55000000000000004">
      <c r="A61" t="s">
        <v>59</v>
      </c>
      <c r="B61" t="s">
        <v>193</v>
      </c>
      <c r="C61" s="5">
        <v>24</v>
      </c>
      <c r="D61" s="5">
        <v>24</v>
      </c>
    </row>
    <row r="62" spans="1:4" x14ac:dyDescent="0.55000000000000004">
      <c r="A62" t="s">
        <v>60</v>
      </c>
      <c r="B62" t="s">
        <v>193</v>
      </c>
      <c r="C62" s="5">
        <v>30</v>
      </c>
      <c r="D62" s="5">
        <v>30</v>
      </c>
    </row>
    <row r="63" spans="1:4" x14ac:dyDescent="0.55000000000000004">
      <c r="A63" t="s">
        <v>61</v>
      </c>
      <c r="B63" t="s">
        <v>186</v>
      </c>
      <c r="C63" s="5" t="s">
        <v>170</v>
      </c>
      <c r="D63" s="5" t="s">
        <v>170</v>
      </c>
    </row>
    <row r="64" spans="1:4" x14ac:dyDescent="0.55000000000000004">
      <c r="A64" t="s">
        <v>62</v>
      </c>
      <c r="B64" t="s">
        <v>188</v>
      </c>
      <c r="C64" s="5">
        <v>0</v>
      </c>
      <c r="D64" s="5">
        <v>0</v>
      </c>
    </row>
    <row r="65" spans="1:4" x14ac:dyDescent="0.55000000000000004">
      <c r="A65" t="s">
        <v>63</v>
      </c>
      <c r="B65" t="s">
        <v>188</v>
      </c>
      <c r="C65" s="5">
        <v>0</v>
      </c>
      <c r="D65" s="5">
        <v>0</v>
      </c>
    </row>
    <row r="66" spans="1:4" x14ac:dyDescent="0.55000000000000004">
      <c r="A66" t="s">
        <v>64</v>
      </c>
      <c r="B66" t="s">
        <v>194</v>
      </c>
      <c r="C66" s="5" t="b">
        <v>0</v>
      </c>
      <c r="D66" s="5" t="b">
        <v>0</v>
      </c>
    </row>
    <row r="67" spans="1:4" x14ac:dyDescent="0.55000000000000004">
      <c r="A67" t="s">
        <v>126</v>
      </c>
      <c r="B67" t="s">
        <v>194</v>
      </c>
      <c r="C67" s="5" t="b">
        <v>0</v>
      </c>
      <c r="D67" s="5" t="b">
        <v>0</v>
      </c>
    </row>
    <row r="68" spans="1:4" x14ac:dyDescent="0.55000000000000004">
      <c r="A68" t="s">
        <v>205</v>
      </c>
      <c r="B68" t="s">
        <v>188</v>
      </c>
      <c r="C68" s="5">
        <v>1</v>
      </c>
      <c r="D68" s="5">
        <v>1</v>
      </c>
    </row>
    <row r="69" spans="1:4" x14ac:dyDescent="0.55000000000000004">
      <c r="A69" t="s">
        <v>206</v>
      </c>
      <c r="B69" t="s">
        <v>188</v>
      </c>
      <c r="C69" s="5">
        <v>4.5</v>
      </c>
      <c r="D69" s="5">
        <v>4.5</v>
      </c>
    </row>
    <row r="70" spans="1:4" x14ac:dyDescent="0.55000000000000004">
      <c r="A70" t="s">
        <v>207</v>
      </c>
      <c r="B70" t="s">
        <v>209</v>
      </c>
      <c r="C70" s="5">
        <v>1.3</v>
      </c>
      <c r="D70" s="5">
        <v>1.3</v>
      </c>
    </row>
    <row r="71" spans="1:4" x14ac:dyDescent="0.55000000000000004">
      <c r="A71" t="s">
        <v>208</v>
      </c>
      <c r="B71" t="s">
        <v>209</v>
      </c>
      <c r="C71" s="5">
        <v>0.35</v>
      </c>
      <c r="D71" s="5">
        <v>0.35</v>
      </c>
    </row>
  </sheetData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FF95406-FB8B-4E6A-B556-990A4E7003BF}">
          <x14:formula1>
            <xm:f>REFERENCE!$B$3:$B$26</xm:f>
          </x14:formula1>
          <xm:sqref>C12:D12</xm:sqref>
        </x14:dataValidation>
        <x14:dataValidation type="list" allowBlank="1" showInputMessage="1" showErrorMessage="1" xr:uid="{1E78B82C-F1A9-43D9-A577-E1E5CD9439FE}">
          <x14:formula1>
            <xm:f>REFERENCE!$D$3:$D$6</xm:f>
          </x14:formula1>
          <xm:sqref>C13:D13</xm:sqref>
        </x14:dataValidation>
        <x14:dataValidation type="list" allowBlank="1" showInputMessage="1" showErrorMessage="1" xr:uid="{7F7570AF-C41A-4A16-A169-1B9367066559}">
          <x14:formula1>
            <xm:f>REFERENCE!$H$3:$H$10</xm:f>
          </x14:formula1>
          <xm:sqref>C14:D14</xm:sqref>
        </x14:dataValidation>
        <x14:dataValidation type="list" allowBlank="1" showInputMessage="1" showErrorMessage="1" xr:uid="{A0711F46-B32F-4C09-82C7-2F8295CB9C95}">
          <x14:formula1>
            <xm:f>REFERENCE!$F$3:$F$7</xm:f>
          </x14:formula1>
          <xm:sqref>C15:D15</xm:sqref>
        </x14:dataValidation>
        <x14:dataValidation type="list" allowBlank="1" showInputMessage="1" showErrorMessage="1" xr:uid="{31464A3A-18E3-44D6-B06D-843C44D9358F}">
          <x14:formula1>
            <xm:f>REFERENCE!$J$3:$J$5</xm:f>
          </x14:formula1>
          <xm:sqref>C63:D63</xm:sqref>
        </x14:dataValidation>
        <x14:dataValidation type="list" allowBlank="1" showInputMessage="1" showErrorMessage="1" xr:uid="{76650F30-DB98-4572-B2BD-6C7E85341E73}">
          <x14:formula1>
            <xm:f>REFERENCE!$L$3:$L$5</xm:f>
          </x14:formula1>
          <xm:sqref>C9:D9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10F8-F120-4E14-A3E7-E49EF95C2327}">
  <dimension ref="B2:N65"/>
  <sheetViews>
    <sheetView workbookViewId="0">
      <selection activeCell="L4" sqref="L4"/>
    </sheetView>
  </sheetViews>
  <sheetFormatPr defaultRowHeight="15.4" x14ac:dyDescent="0.55000000000000004"/>
  <cols>
    <col min="2" max="2" width="30.3984375" bestFit="1" customWidth="1"/>
    <col min="4" max="4" width="19" bestFit="1" customWidth="1"/>
    <col min="6" max="6" width="10" bestFit="1" customWidth="1"/>
    <col min="8" max="8" width="18" bestFit="1" customWidth="1"/>
    <col min="10" max="10" width="22.265625" bestFit="1" customWidth="1"/>
    <col min="11" max="11" width="7.86328125" customWidth="1"/>
    <col min="12" max="12" width="22.265625" customWidth="1"/>
  </cols>
  <sheetData>
    <row r="2" spans="2:14" x14ac:dyDescent="0.55000000000000004">
      <c r="B2" s="3" t="s">
        <v>20</v>
      </c>
      <c r="D2" t="s">
        <v>21</v>
      </c>
      <c r="F2" t="s">
        <v>22</v>
      </c>
      <c r="H2" t="s">
        <v>23</v>
      </c>
      <c r="J2" t="s">
        <v>24</v>
      </c>
      <c r="L2" t="s">
        <v>195</v>
      </c>
      <c r="N2" s="8" t="s">
        <v>65</v>
      </c>
    </row>
    <row r="3" spans="2:14" x14ac:dyDescent="0.55000000000000004">
      <c r="B3" t="s">
        <v>134</v>
      </c>
      <c r="D3" t="s">
        <v>158</v>
      </c>
      <c r="F3" t="s">
        <v>173</v>
      </c>
      <c r="H3" t="s">
        <v>162</v>
      </c>
      <c r="J3" t="s">
        <v>170</v>
      </c>
      <c r="L3" t="s">
        <v>196</v>
      </c>
      <c r="N3" s="9" t="s">
        <v>66</v>
      </c>
    </row>
    <row r="4" spans="2:14" x14ac:dyDescent="0.55000000000000004">
      <c r="B4" t="s">
        <v>135</v>
      </c>
      <c r="D4" t="s">
        <v>159</v>
      </c>
      <c r="F4" t="s">
        <v>174</v>
      </c>
      <c r="H4" t="s">
        <v>163</v>
      </c>
      <c r="J4" t="s">
        <v>171</v>
      </c>
      <c r="L4" t="s">
        <v>197</v>
      </c>
      <c r="N4" s="10" t="s">
        <v>67</v>
      </c>
    </row>
    <row r="5" spans="2:14" x14ac:dyDescent="0.55000000000000004">
      <c r="B5" t="s">
        <v>136</v>
      </c>
      <c r="D5" t="s">
        <v>160</v>
      </c>
      <c r="F5" t="s">
        <v>175</v>
      </c>
      <c r="H5" t="s">
        <v>164</v>
      </c>
      <c r="J5" t="s">
        <v>172</v>
      </c>
      <c r="L5" t="s">
        <v>198</v>
      </c>
      <c r="N5" s="9" t="s">
        <v>68</v>
      </c>
    </row>
    <row r="6" spans="2:14" x14ac:dyDescent="0.55000000000000004">
      <c r="B6" t="s">
        <v>137</v>
      </c>
      <c r="D6" t="s">
        <v>161</v>
      </c>
      <c r="F6" t="s">
        <v>176</v>
      </c>
      <c r="H6" t="s">
        <v>165</v>
      </c>
      <c r="N6" s="10" t="s">
        <v>69</v>
      </c>
    </row>
    <row r="7" spans="2:14" x14ac:dyDescent="0.55000000000000004">
      <c r="B7" t="s">
        <v>138</v>
      </c>
      <c r="F7" t="s">
        <v>177</v>
      </c>
      <c r="H7" t="s">
        <v>166</v>
      </c>
      <c r="N7" s="9" t="s">
        <v>70</v>
      </c>
    </row>
    <row r="8" spans="2:14" x14ac:dyDescent="0.55000000000000004">
      <c r="B8" t="s">
        <v>139</v>
      </c>
      <c r="H8" t="s">
        <v>167</v>
      </c>
      <c r="N8" s="10" t="s">
        <v>71</v>
      </c>
    </row>
    <row r="9" spans="2:14" x14ac:dyDescent="0.55000000000000004">
      <c r="B9" t="s">
        <v>140</v>
      </c>
      <c r="H9" t="s">
        <v>168</v>
      </c>
      <c r="N9" s="9" t="s">
        <v>72</v>
      </c>
    </row>
    <row r="10" spans="2:14" x14ac:dyDescent="0.55000000000000004">
      <c r="B10" t="s">
        <v>141</v>
      </c>
      <c r="H10" t="s">
        <v>169</v>
      </c>
      <c r="N10" s="10" t="s">
        <v>73</v>
      </c>
    </row>
    <row r="11" spans="2:14" x14ac:dyDescent="0.55000000000000004">
      <c r="B11" t="s">
        <v>142</v>
      </c>
      <c r="N11" s="9" t="s">
        <v>74</v>
      </c>
    </row>
    <row r="12" spans="2:14" x14ac:dyDescent="0.55000000000000004">
      <c r="B12" t="s">
        <v>143</v>
      </c>
      <c r="N12" s="10" t="s">
        <v>75</v>
      </c>
    </row>
    <row r="13" spans="2:14" x14ac:dyDescent="0.55000000000000004">
      <c r="B13" t="s">
        <v>144</v>
      </c>
      <c r="N13" s="9" t="s">
        <v>76</v>
      </c>
    </row>
    <row r="14" spans="2:14" x14ac:dyDescent="0.55000000000000004">
      <c r="B14" t="s">
        <v>145</v>
      </c>
      <c r="N14" s="10" t="s">
        <v>77</v>
      </c>
    </row>
    <row r="15" spans="2:14" x14ac:dyDescent="0.55000000000000004">
      <c r="B15" t="s">
        <v>146</v>
      </c>
      <c r="N15" s="9" t="s">
        <v>78</v>
      </c>
    </row>
    <row r="16" spans="2:14" x14ac:dyDescent="0.55000000000000004">
      <c r="B16" t="s">
        <v>147</v>
      </c>
      <c r="N16" s="10" t="s">
        <v>79</v>
      </c>
    </row>
    <row r="17" spans="2:14" x14ac:dyDescent="0.55000000000000004">
      <c r="B17" t="s">
        <v>148</v>
      </c>
      <c r="N17" s="9" t="s">
        <v>80</v>
      </c>
    </row>
    <row r="18" spans="2:14" x14ac:dyDescent="0.55000000000000004">
      <c r="B18" t="s">
        <v>149</v>
      </c>
      <c r="N18" s="10" t="s">
        <v>81</v>
      </c>
    </row>
    <row r="19" spans="2:14" x14ac:dyDescent="0.55000000000000004">
      <c r="B19" t="s">
        <v>150</v>
      </c>
      <c r="N19" s="9" t="s">
        <v>82</v>
      </c>
    </row>
    <row r="20" spans="2:14" x14ac:dyDescent="0.55000000000000004">
      <c r="B20" t="s">
        <v>151</v>
      </c>
      <c r="N20" s="10" t="s">
        <v>83</v>
      </c>
    </row>
    <row r="21" spans="2:14" x14ac:dyDescent="0.55000000000000004">
      <c r="B21" t="s">
        <v>152</v>
      </c>
      <c r="N21" s="9" t="s">
        <v>84</v>
      </c>
    </row>
    <row r="22" spans="2:14" x14ac:dyDescent="0.55000000000000004">
      <c r="B22" t="s">
        <v>153</v>
      </c>
      <c r="N22" s="10" t="s">
        <v>85</v>
      </c>
    </row>
    <row r="23" spans="2:14" x14ac:dyDescent="0.55000000000000004">
      <c r="B23" t="s">
        <v>154</v>
      </c>
      <c r="N23" s="9" t="s">
        <v>86</v>
      </c>
    </row>
    <row r="24" spans="2:14" x14ac:dyDescent="0.55000000000000004">
      <c r="B24" t="s">
        <v>155</v>
      </c>
      <c r="N24" s="10" t="s">
        <v>87</v>
      </c>
    </row>
    <row r="25" spans="2:14" x14ac:dyDescent="0.55000000000000004">
      <c r="B25" t="s">
        <v>156</v>
      </c>
      <c r="N25" s="9" t="s">
        <v>88</v>
      </c>
    </row>
    <row r="26" spans="2:14" x14ac:dyDescent="0.55000000000000004">
      <c r="B26" t="s">
        <v>157</v>
      </c>
      <c r="N26" s="10" t="s">
        <v>89</v>
      </c>
    </row>
    <row r="27" spans="2:14" x14ac:dyDescent="0.55000000000000004">
      <c r="N27" s="9" t="s">
        <v>90</v>
      </c>
    </row>
    <row r="28" spans="2:14" x14ac:dyDescent="0.55000000000000004">
      <c r="N28" s="10" t="s">
        <v>91</v>
      </c>
    </row>
    <row r="29" spans="2:14" x14ac:dyDescent="0.55000000000000004">
      <c r="N29" s="9" t="s">
        <v>92</v>
      </c>
    </row>
    <row r="30" spans="2:14" x14ac:dyDescent="0.55000000000000004">
      <c r="N30" s="10" t="s">
        <v>93</v>
      </c>
    </row>
    <row r="31" spans="2:14" x14ac:dyDescent="0.55000000000000004">
      <c r="N31" s="9" t="s">
        <v>94</v>
      </c>
    </row>
    <row r="32" spans="2:14" x14ac:dyDescent="0.55000000000000004">
      <c r="N32" s="10" t="s">
        <v>95</v>
      </c>
    </row>
    <row r="33" spans="14:14" x14ac:dyDescent="0.55000000000000004">
      <c r="N33" s="9" t="s">
        <v>96</v>
      </c>
    </row>
    <row r="34" spans="14:14" x14ac:dyDescent="0.55000000000000004">
      <c r="N34" s="10" t="s">
        <v>97</v>
      </c>
    </row>
    <row r="35" spans="14:14" x14ac:dyDescent="0.55000000000000004">
      <c r="N35" s="9" t="s">
        <v>98</v>
      </c>
    </row>
    <row r="36" spans="14:14" x14ac:dyDescent="0.55000000000000004">
      <c r="N36" s="10" t="s">
        <v>99</v>
      </c>
    </row>
    <row r="37" spans="14:14" x14ac:dyDescent="0.55000000000000004">
      <c r="N37" s="9" t="s">
        <v>100</v>
      </c>
    </row>
    <row r="38" spans="14:14" x14ac:dyDescent="0.55000000000000004">
      <c r="N38" s="10" t="s">
        <v>101</v>
      </c>
    </row>
    <row r="39" spans="14:14" x14ac:dyDescent="0.55000000000000004">
      <c r="N39" s="9" t="s">
        <v>102</v>
      </c>
    </row>
    <row r="40" spans="14:14" x14ac:dyDescent="0.55000000000000004">
      <c r="N40" s="10" t="s">
        <v>103</v>
      </c>
    </row>
    <row r="41" spans="14:14" x14ac:dyDescent="0.55000000000000004">
      <c r="N41" s="9" t="s">
        <v>104</v>
      </c>
    </row>
    <row r="42" spans="14:14" x14ac:dyDescent="0.55000000000000004">
      <c r="N42" s="10" t="s">
        <v>105</v>
      </c>
    </row>
    <row r="43" spans="14:14" x14ac:dyDescent="0.55000000000000004">
      <c r="N43" s="9" t="s">
        <v>106</v>
      </c>
    </row>
    <row r="44" spans="14:14" x14ac:dyDescent="0.55000000000000004">
      <c r="N44" s="10" t="s">
        <v>107</v>
      </c>
    </row>
    <row r="45" spans="14:14" x14ac:dyDescent="0.55000000000000004">
      <c r="N45" s="9" t="s">
        <v>108</v>
      </c>
    </row>
    <row r="46" spans="14:14" x14ac:dyDescent="0.55000000000000004">
      <c r="N46" s="10" t="s">
        <v>109</v>
      </c>
    </row>
    <row r="47" spans="14:14" x14ac:dyDescent="0.55000000000000004">
      <c r="N47" s="9" t="s">
        <v>110</v>
      </c>
    </row>
    <row r="48" spans="14:14" x14ac:dyDescent="0.55000000000000004">
      <c r="N48" s="10" t="s">
        <v>111</v>
      </c>
    </row>
    <row r="49" spans="14:14" x14ac:dyDescent="0.55000000000000004">
      <c r="N49" s="9" t="s">
        <v>178</v>
      </c>
    </row>
    <row r="50" spans="14:14" x14ac:dyDescent="0.55000000000000004">
      <c r="N50" s="10" t="s">
        <v>179</v>
      </c>
    </row>
    <row r="51" spans="14:14" x14ac:dyDescent="0.55000000000000004">
      <c r="N51" s="9" t="s">
        <v>112</v>
      </c>
    </row>
    <row r="52" spans="14:14" x14ac:dyDescent="0.55000000000000004">
      <c r="N52" s="10" t="s">
        <v>113</v>
      </c>
    </row>
    <row r="53" spans="14:14" x14ac:dyDescent="0.55000000000000004">
      <c r="N53" s="9" t="s">
        <v>114</v>
      </c>
    </row>
    <row r="54" spans="14:14" x14ac:dyDescent="0.55000000000000004">
      <c r="N54" s="10" t="s">
        <v>115</v>
      </c>
    </row>
    <row r="55" spans="14:14" x14ac:dyDescent="0.55000000000000004">
      <c r="N55" s="9" t="s">
        <v>116</v>
      </c>
    </row>
    <row r="56" spans="14:14" x14ac:dyDescent="0.55000000000000004">
      <c r="N56" s="10" t="s">
        <v>117</v>
      </c>
    </row>
    <row r="57" spans="14:14" x14ac:dyDescent="0.55000000000000004">
      <c r="N57" s="9" t="s">
        <v>121</v>
      </c>
    </row>
    <row r="58" spans="14:14" x14ac:dyDescent="0.55000000000000004">
      <c r="N58" s="10" t="s">
        <v>120</v>
      </c>
    </row>
    <row r="59" spans="14:14" x14ac:dyDescent="0.55000000000000004">
      <c r="N59" s="9" t="s">
        <v>119</v>
      </c>
    </row>
    <row r="60" spans="14:14" x14ac:dyDescent="0.55000000000000004">
      <c r="N60" s="10" t="s">
        <v>118</v>
      </c>
    </row>
    <row r="61" spans="14:14" x14ac:dyDescent="0.55000000000000004">
      <c r="N61" s="9" t="s">
        <v>122</v>
      </c>
    </row>
    <row r="62" spans="14:14" x14ac:dyDescent="0.55000000000000004">
      <c r="N62" s="10" t="s">
        <v>123</v>
      </c>
    </row>
    <row r="63" spans="14:14" x14ac:dyDescent="0.55000000000000004">
      <c r="N63" s="9" t="s">
        <v>124</v>
      </c>
    </row>
    <row r="64" spans="14:14" x14ac:dyDescent="0.55000000000000004">
      <c r="N64" s="10" t="s">
        <v>125</v>
      </c>
    </row>
    <row r="65" spans="14:14" x14ac:dyDescent="0.55000000000000004">
      <c r="N65" s="9" t="s">
        <v>127</v>
      </c>
    </row>
  </sheetData>
  <pageMargins left="0.7" right="0.7" top="0.75" bottom="0.75" header="0.3" footer="0.3"/>
  <pageSetup paperSize="9" orientation="portrait" verticalDpi="0"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9F26941E5D1A47AB4A1CBE746B8953" ma:contentTypeVersion="15" ma:contentTypeDescription="Create a new document." ma:contentTypeScope="" ma:versionID="e46830e7d249d38b19f882c39ce71d12">
  <xsd:schema xmlns:xsd="http://www.w3.org/2001/XMLSchema" xmlns:xs="http://www.w3.org/2001/XMLSchema" xmlns:p="http://schemas.microsoft.com/office/2006/metadata/properties" xmlns:ns2="80828e68-3a03-48cd-afe7-1978b0e5c1b6" xmlns:ns3="81f55293-2aa0-42e6-94ac-d4644a423473" targetNamespace="http://schemas.microsoft.com/office/2006/metadata/properties" ma:root="true" ma:fieldsID="572a8f9acbd17cebd7d67e128cf35a76" ns2:_="" ns3:_="">
    <xsd:import namespace="80828e68-3a03-48cd-afe7-1978b0e5c1b6"/>
    <xsd:import namespace="81f55293-2aa0-42e6-94ac-d4644a4234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28e68-3a03-48cd-afe7-1978b0e5c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3fa978b-cdad-45a5-877c-f631a0e6df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f55293-2aa0-42e6-94ac-d4644a4234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efd424-7d60-47f9-8768-88ad1c7a9eef}" ma:internalName="TaxCatchAll" ma:showField="CatchAllData" ma:web="81f55293-2aa0-42e6-94ac-d4644a4234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828e68-3a03-48cd-afe7-1978b0e5c1b6">
      <Terms xmlns="http://schemas.microsoft.com/office/infopath/2007/PartnerControls"/>
    </lcf76f155ced4ddcb4097134ff3c332f>
    <TaxCatchAll xmlns="81f55293-2aa0-42e6-94ac-d4644a423473" xsi:nil="true"/>
  </documentManagement>
</p:properties>
</file>

<file path=customXml/itemProps1.xml><?xml version="1.0" encoding="utf-8"?>
<ds:datastoreItem xmlns:ds="http://schemas.openxmlformats.org/officeDocument/2006/customXml" ds:itemID="{2A32568F-AB99-46D7-864A-C9B09F810D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D72752-BD96-4F2D-BE4C-6442BCED49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828e68-3a03-48cd-afe7-1978b0e5c1b6"/>
    <ds:schemaRef ds:uri="81f55293-2aa0-42e6-94ac-d4644a423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60C616-60B8-4564-BE38-8F4A7901595D}">
  <ds:schemaRefs>
    <ds:schemaRef ds:uri="http://purl.org/dc/dcmitype/"/>
    <ds:schemaRef ds:uri="http://schemas.microsoft.com/office/2006/metadata/properties"/>
    <ds:schemaRef ds:uri="80828e68-3a03-48cd-afe7-1978b0e5c1b6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81f55293-2aa0-42e6-94ac-d4644a4234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Gerrish</dc:creator>
  <cp:lastModifiedBy>Tristan Gerrish</cp:lastModifiedBy>
  <dcterms:created xsi:type="dcterms:W3CDTF">2024-02-15T10:34:20Z</dcterms:created>
  <dcterms:modified xsi:type="dcterms:W3CDTF">2024-02-23T08:59:02Z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0x0101004B9F26941E5D1A47AB4A1CBE746B8953</vt:lpwstr>
  </property>
  <property fmtid="{D5CDD505-2E9C-101B-9397-08002B2CF9AE}" pid="3" name="MediaServiceImageTags">
    <vt:lpwstr/>
  </property>
</Properties>
</file>